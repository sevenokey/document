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  <font>
      <b val="1"/>
      <sz val="12"/>
    </font>
    <font>
      <color rgb="000563C1"/>
      <u val="single"/>
    </font>
  </fonts>
  <fills count="1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0392B"/>
        <bgColor rgb="00C0392B"/>
      </patternFill>
    </fill>
    <fill>
      <patternFill patternType="solid">
        <fgColor rgb="00FF6B6B"/>
        <bgColor rgb="00FF6B6B"/>
      </patternFill>
    </fill>
    <fill>
      <patternFill patternType="solid">
        <fgColor rgb="00E74C3C"/>
        <bgColor rgb="00E74C3C"/>
      </patternFill>
    </fill>
    <fill>
      <patternFill patternType="solid">
        <fgColor rgb="00FFE66D"/>
        <bgColor rgb="00FFE66D"/>
      </patternFill>
    </fill>
    <fill>
      <patternFill patternType="solid">
        <fgColor rgb="00F39C12"/>
        <bgColor rgb="00F39C12"/>
      </patternFill>
    </fill>
    <fill>
      <patternFill patternType="solid">
        <fgColor rgb="0095E1D3"/>
        <bgColor rgb="0095E1D3"/>
      </patternFill>
    </fill>
    <fill>
      <patternFill patternType="solid">
        <fgColor rgb="00A8E6CF"/>
        <bgColor rgb="00A8E6CF"/>
      </patternFill>
    </fill>
    <fill>
      <patternFill patternType="solid">
        <fgColor rgb="004ECDC4"/>
        <bgColor rgb="004ECDC4"/>
      </patternFill>
    </fill>
    <fill>
      <patternFill patternType="solid">
        <fgColor rgb="003498DB"/>
        <bgColor rgb="003498DB"/>
      </patternFill>
    </fill>
    <fill>
      <patternFill patternType="solid">
        <fgColor rgb="00D4E6F1"/>
        <bgColor rgb="00D4E6F1"/>
      </patternFill>
    </fill>
    <fill>
      <patternFill patternType="solid">
        <fgColor rgb="00FF8B94"/>
        <bgColor rgb="00FF8B9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3" fillId="12" borderId="1" applyAlignment="1" pivotButton="0" quotePrefix="0" xfId="0">
      <alignment vertical="center"/>
    </xf>
    <xf numFmtId="0" fontId="3" fillId="13" borderId="1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screenshots/bug001.png" TargetMode="External" Id="rId1"/><Relationship Type="http://schemas.openxmlformats.org/officeDocument/2006/relationships/hyperlink" Target="https://example.com/screenshots/bug002.png" TargetMode="External" Id="rId2"/><Relationship Type="http://schemas.openxmlformats.org/officeDocument/2006/relationships/hyperlink" Target="https://example.com/screenshots/bug003.png" TargetMode="External" Id="rId3"/><Relationship Type="http://schemas.openxmlformats.org/officeDocument/2006/relationships/hyperlink" Target="https://example.com/screenshots/bug004.png" TargetMode="External" Id="rId4"/><Relationship Type="http://schemas.openxmlformats.org/officeDocument/2006/relationships/hyperlink" Target="https://example.com/screenshots/bug005.png" TargetMode="External" Id="rId5"/><Relationship Type="http://schemas.openxmlformats.org/officeDocument/2006/relationships/hyperlink" Target="https://example.com/screenshots/bug006.png" TargetMode="External" Id="rId6"/><Relationship Type="http://schemas.openxmlformats.org/officeDocument/2006/relationships/hyperlink" Target="https://example.com/screenshots/bug007.png" TargetMode="External" Id="rId7"/><Relationship Type="http://schemas.openxmlformats.org/officeDocument/2006/relationships/hyperlink" Target="https://example.com/screenshots/bug008.png" TargetMode="External" Id="rId8"/><Relationship Type="http://schemas.openxmlformats.org/officeDocument/2006/relationships/hyperlink" Target="https://example.com/screenshots/bug009.png" TargetMode="External" Id="rId9"/><Relationship Type="http://schemas.openxmlformats.org/officeDocument/2006/relationships/hyperlink" Target="https://example.com/screenshots/bug010.png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8" customWidth="1" min="9" max="9"/>
    <col width="15" customWidth="1" min="10" max="10"/>
  </cols>
  <sheetData>
    <row r="1" ht="25" customHeight="1">
      <c r="A1" s="1" t="inlineStr">
        <is>
          <t>Bug ID</t>
        </is>
      </c>
      <c r="B1" s="1" t="inlineStr">
        <is>
          <t>标题</t>
        </is>
      </c>
      <c r="C1" s="1" t="inlineStr">
        <is>
          <t>优先级</t>
        </is>
      </c>
      <c r="D1" s="1" t="inlineStr">
        <is>
          <t>严重程度</t>
        </is>
      </c>
      <c r="E1" s="1" t="inlineStr">
        <is>
          <t>状态</t>
        </is>
      </c>
      <c r="F1" s="1" t="inlineStr">
        <is>
          <t>负责人</t>
        </is>
      </c>
      <c r="G1" s="1" t="inlineStr">
        <is>
          <t>发现日期</t>
        </is>
      </c>
      <c r="H1" s="1" t="inlineStr">
        <is>
          <t>修复日期</t>
        </is>
      </c>
      <c r="I1" s="1" t="inlineStr">
        <is>
          <t>模块/功能</t>
        </is>
      </c>
      <c r="J1" s="17" t="inlineStr">
        <is>
          <t>截图链接</t>
        </is>
      </c>
    </row>
    <row r="2" ht="22" customHeight="1">
      <c r="A2" s="2" t="inlineStr">
        <is>
          <t>BUG-001</t>
        </is>
      </c>
      <c r="B2" s="2" t="inlineStr">
        <is>
          <t>用户登录后页面加载失败</t>
        </is>
      </c>
      <c r="C2" s="3" t="inlineStr">
        <is>
          <t>P0-紧急</t>
        </is>
      </c>
      <c r="D2" s="2" t="inlineStr">
        <is>
          <t>致命</t>
        </is>
      </c>
      <c r="E2" s="4" t="inlineStr">
        <is>
          <t>新建</t>
        </is>
      </c>
      <c r="F2" s="2" t="inlineStr">
        <is>
          <t>张三</t>
        </is>
      </c>
      <c r="G2" s="5" t="n">
        <v>45662</v>
      </c>
      <c r="H2" s="2" t="inlineStr"/>
      <c r="I2" s="2" t="inlineStr">
        <is>
          <t>认证模块</t>
        </is>
      </c>
      <c r="J2" s="18" t="inlineStr">
        <is>
          <t>查看截图</t>
        </is>
      </c>
    </row>
    <row r="3" ht="22" customHeight="1">
      <c r="A3" s="2" t="inlineStr">
        <is>
          <t>BUG-002</t>
        </is>
      </c>
      <c r="B3" s="2" t="inlineStr">
        <is>
          <t>导出Excel文件时数据丢失</t>
        </is>
      </c>
      <c r="C3" s="6" t="inlineStr">
        <is>
          <t>P1-高</t>
        </is>
      </c>
      <c r="D3" s="2" t="inlineStr">
        <is>
          <t>严重</t>
        </is>
      </c>
      <c r="E3" s="7" t="inlineStr">
        <is>
          <t>处理中</t>
        </is>
      </c>
      <c r="F3" s="2" t="inlineStr">
        <is>
          <t>李四</t>
        </is>
      </c>
      <c r="G3" s="5" t="n">
        <v>45660</v>
      </c>
      <c r="H3" s="2" t="inlineStr"/>
      <c r="I3" s="2" t="inlineStr">
        <is>
          <t>报表功能</t>
        </is>
      </c>
      <c r="J3" s="18" t="inlineStr">
        <is>
          <t>查看截图</t>
        </is>
      </c>
    </row>
    <row r="4" ht="22" customHeight="1">
      <c r="A4" s="2" t="inlineStr">
        <is>
          <t>BUG-003</t>
        </is>
      </c>
      <c r="B4" s="2" t="inlineStr">
        <is>
          <t>搜索框输入特殊字符报错</t>
        </is>
      </c>
      <c r="C4" s="8" t="inlineStr">
        <is>
          <t>P2-中</t>
        </is>
      </c>
      <c r="D4" s="2" t="inlineStr">
        <is>
          <t>一般</t>
        </is>
      </c>
      <c r="E4" s="9" t="inlineStr">
        <is>
          <t>已解决</t>
        </is>
      </c>
      <c r="F4" s="2" t="inlineStr">
        <is>
          <t>王五</t>
        </is>
      </c>
      <c r="G4" s="5" t="n">
        <v>45659</v>
      </c>
      <c r="H4" s="5" t="n">
        <v>45661</v>
      </c>
      <c r="I4" s="2" t="inlineStr">
        <is>
          <t>搜索功能</t>
        </is>
      </c>
      <c r="J4" s="18" t="inlineStr">
        <is>
          <t>查看截图</t>
        </is>
      </c>
    </row>
    <row r="5" ht="22" customHeight="1">
      <c r="A5" s="2" t="inlineStr">
        <is>
          <t>BUG-004</t>
        </is>
      </c>
      <c r="B5" s="2" t="inlineStr">
        <is>
          <t>移动端菜单展开异常</t>
        </is>
      </c>
      <c r="C5" s="8" t="inlineStr">
        <is>
          <t>P2-中</t>
        </is>
      </c>
      <c r="D5" s="2" t="inlineStr">
        <is>
          <t>一般</t>
        </is>
      </c>
      <c r="E5" s="10" t="inlineStr">
        <is>
          <t>已验证</t>
        </is>
      </c>
      <c r="F5" s="2" t="inlineStr">
        <is>
          <t>赵六</t>
        </is>
      </c>
      <c r="G5" s="5" t="n">
        <v>45654</v>
      </c>
      <c r="H5" s="5" t="n">
        <v>45660</v>
      </c>
      <c r="I5" s="2" t="inlineStr">
        <is>
          <t>UI组件</t>
        </is>
      </c>
      <c r="J5" s="18" t="inlineStr">
        <is>
          <t>查看截图</t>
        </is>
      </c>
    </row>
    <row r="6" ht="22" customHeight="1">
      <c r="A6" s="2" t="inlineStr">
        <is>
          <t>BUG-005</t>
        </is>
      </c>
      <c r="B6" s="2" t="inlineStr">
        <is>
          <t>通知推送延迟超过5分钟</t>
        </is>
      </c>
      <c r="C6" s="6" t="inlineStr">
        <is>
          <t>P1-高</t>
        </is>
      </c>
      <c r="D6" s="2" t="inlineStr">
        <is>
          <t>严重</t>
        </is>
      </c>
      <c r="E6" s="11" t="inlineStr">
        <is>
          <t>已分配</t>
        </is>
      </c>
      <c r="F6" s="2" t="inlineStr">
        <is>
          <t>张三</t>
        </is>
      </c>
      <c r="G6" s="5" t="n">
        <v>45661</v>
      </c>
      <c r="H6" s="2" t="inlineStr"/>
      <c r="I6" s="2" t="inlineStr">
        <is>
          <t>消息中心</t>
        </is>
      </c>
      <c r="J6" s="18" t="inlineStr">
        <is>
          <t>查看截图</t>
        </is>
      </c>
    </row>
    <row r="7" ht="22" customHeight="1">
      <c r="A7" s="2" t="inlineStr">
        <is>
          <t>BUG-006</t>
        </is>
      </c>
      <c r="B7" s="2" t="inlineStr">
        <is>
          <t>用户头像上传后无法显示</t>
        </is>
      </c>
      <c r="C7" s="8" t="inlineStr">
        <is>
          <t>P2-中</t>
        </is>
      </c>
      <c r="D7" s="2" t="inlineStr">
        <is>
          <t>一般</t>
        </is>
      </c>
      <c r="E7" s="7" t="inlineStr">
        <is>
          <t>处理中</t>
        </is>
      </c>
      <c r="F7" s="2" t="inlineStr">
        <is>
          <t>李四</t>
        </is>
      </c>
      <c r="G7" s="5" t="n">
        <v>45662</v>
      </c>
      <c r="H7" s="2" t="inlineStr"/>
      <c r="I7" s="2" t="inlineStr">
        <is>
          <t>用户设置</t>
        </is>
      </c>
      <c r="J7" s="18" t="inlineStr">
        <is>
          <t>查看截图</t>
        </is>
      </c>
    </row>
    <row r="8" ht="22" customHeight="1">
      <c r="A8" s="2" t="inlineStr">
        <is>
          <t>BUG-007</t>
        </is>
      </c>
      <c r="B8" s="2" t="inlineStr">
        <is>
          <t>数据统计图表颜色配置错误</t>
        </is>
      </c>
      <c r="C8" s="12" t="inlineStr">
        <is>
          <t>P3-低</t>
        </is>
      </c>
      <c r="D8" s="2" t="inlineStr">
        <is>
          <t>轻微</t>
        </is>
      </c>
      <c r="E8" s="13" t="inlineStr">
        <is>
          <t>已关闭</t>
        </is>
      </c>
      <c r="F8" s="2" t="inlineStr">
        <is>
          <t>王五</t>
        </is>
      </c>
      <c r="G8" s="5" t="n">
        <v>45651</v>
      </c>
      <c r="H8" s="5" t="n">
        <v>45659</v>
      </c>
      <c r="I8" s="2" t="inlineStr">
        <is>
          <t>可视化</t>
        </is>
      </c>
      <c r="J8" s="18" t="inlineStr">
        <is>
          <t>查看截图</t>
        </is>
      </c>
    </row>
    <row r="9" ht="22" customHeight="1">
      <c r="A9" s="2" t="inlineStr">
        <is>
          <t>BUG-008</t>
        </is>
      </c>
      <c r="B9" s="2" t="inlineStr">
        <is>
          <t>批量导入功能不支持CSV格式</t>
        </is>
      </c>
      <c r="C9" s="8" t="inlineStr">
        <is>
          <t>P2-中</t>
        </is>
      </c>
      <c r="D9" s="2" t="inlineStr">
        <is>
          <t>一般</t>
        </is>
      </c>
      <c r="E9" s="14" t="inlineStr">
        <is>
          <t>重新打开</t>
        </is>
      </c>
      <c r="F9" s="2" t="inlineStr">
        <is>
          <t>赵六</t>
        </is>
      </c>
      <c r="G9" s="5" t="n">
        <v>45646</v>
      </c>
      <c r="H9" s="2" t="inlineStr"/>
      <c r="I9" s="2" t="inlineStr">
        <is>
          <t>数据导入</t>
        </is>
      </c>
      <c r="J9" s="18" t="inlineStr">
        <is>
          <t>查看截图</t>
        </is>
      </c>
    </row>
    <row r="10" ht="22" customHeight="1">
      <c r="A10" s="2" t="inlineStr">
        <is>
          <t>BUG-009</t>
        </is>
      </c>
      <c r="B10" s="2" t="inlineStr">
        <is>
          <t>密码重置邮件链接失效</t>
        </is>
      </c>
      <c r="C10" s="3" t="inlineStr">
        <is>
          <t>P0-紧急</t>
        </is>
      </c>
      <c r="D10" s="2" t="inlineStr">
        <is>
          <t>致命</t>
        </is>
      </c>
      <c r="E10" s="7" t="inlineStr">
        <is>
          <t>处理中</t>
        </is>
      </c>
      <c r="F10" s="2" t="inlineStr">
        <is>
          <t>张三</t>
        </is>
      </c>
      <c r="G10" s="5" t="n">
        <v>45663</v>
      </c>
      <c r="H10" s="2" t="inlineStr"/>
      <c r="I10" s="2" t="inlineStr">
        <is>
          <t>认证模块</t>
        </is>
      </c>
      <c r="J10" s="18" t="inlineStr">
        <is>
          <t>查看截图</t>
        </is>
      </c>
    </row>
    <row r="11" ht="22" customHeight="1">
      <c r="A11" s="2" t="inlineStr">
        <is>
          <t>BUG-010</t>
        </is>
      </c>
      <c r="B11" s="2" t="inlineStr">
        <is>
          <t>夜间模式切换后样式错乱</t>
        </is>
      </c>
      <c r="C11" s="12" t="inlineStr">
        <is>
          <t>P3-低</t>
        </is>
      </c>
      <c r="D11" s="2" t="inlineStr">
        <is>
          <t>轻微</t>
        </is>
      </c>
      <c r="E11" s="4" t="inlineStr">
        <is>
          <t>新建</t>
        </is>
      </c>
      <c r="F11" s="2" t="inlineStr">
        <is>
          <t>李四</t>
        </is>
      </c>
      <c r="G11" s="5" t="n">
        <v>45663</v>
      </c>
      <c r="H11" s="2" t="inlineStr"/>
      <c r="I11" s="2" t="inlineStr">
        <is>
          <t>主题设置</t>
        </is>
      </c>
      <c r="J11" s="18" t="inlineStr">
        <is>
          <t>查看截图</t>
        </is>
      </c>
    </row>
    <row r="13">
      <c r="A13" s="15" t="inlineStr">
        <is>
          <t>统计汇总</t>
        </is>
      </c>
    </row>
    <row r="14">
      <c r="A14" s="16" t="inlineStr">
        <is>
          <t>总Bug数</t>
        </is>
      </c>
      <c r="B14">
        <f>COUNTA(A2:A11)</f>
        <v/>
      </c>
    </row>
    <row r="15">
      <c r="A15" s="16" t="inlineStr">
        <is>
          <t>未解决</t>
        </is>
      </c>
      <c r="B15">
        <f>COUNTIF(E2:E11,"新建")+COUNTIF(E2:E11,"已分配")+COUNTIF(E2:E11,"处理中")</f>
        <v/>
      </c>
    </row>
    <row r="16">
      <c r="A16" s="16" t="inlineStr">
        <is>
          <t>已解决</t>
        </is>
      </c>
      <c r="B16">
        <f>COUNTIF(E2:E11,"已解决")+COUNTIF(E2:E11,"已验证")+COUNTIF(E2:E11,"已关闭")</f>
        <v/>
      </c>
    </row>
    <row r="17">
      <c r="A17" s="16" t="inlineStr">
        <is>
          <t>P0/P1紧急</t>
        </is>
      </c>
      <c r="B17">
        <f>COUNTIF(C2:C11,"P0-紧急")+COUNTIF(C2:C11,"P1-高")</f>
        <v/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2026-01-08T02:25:39Z</dcterms:created>
  <dcterms:modified xmlns:dcterms="http://purl.org/dc/terms/" xmlns:xsi="http://www.w3.org/2001/XMLSchema-instance" xsi:type="dcterms:W3CDTF">2026-01-08T02:26:28Z</dcterms:modified>
</cp:coreProperties>
</file>